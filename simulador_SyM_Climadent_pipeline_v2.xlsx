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  <sheet xmlns:r="http://schemas.openxmlformats.org/officeDocument/2006/relationships" name="Parametros" sheetId="2" state="hidden" r:id="rId2"/>
    <sheet xmlns:r="http://schemas.openxmlformats.org/officeDocument/2006/relationships" name="Benchmark" sheetId="3" state="visible" r:id="rId3"/>
    <sheet xmlns:r="http://schemas.openxmlformats.org/officeDocument/2006/relationships" name="Diccionario" sheetId="4" state="visible" r:id="rId4"/>
  </sheets>
  <definedNames>
    <definedName name="TierList">Parametros!$A$31:$A$33</definedName>
    <definedName name="OfertaList">Parametros!$B$31:$B$33</definedName>
    <definedName name="CompetenciaList">Parametros!$C$31:$C$33</definedName>
    <definedName name="SiNoList">Parametros!$D$31:$D$32</definedName>
    <definedName name="SiParcialNoList">Parametros!$E$31:$E$33</definedName>
    <definedName name="MarcaList">Parametros!$F$31:$F$33</definedName>
    <definedName name="FinanciacionList">Parametros!$G$31:$G$33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€"/>
    <numFmt numFmtId="165" formatCode="0.0"/>
    <numFmt numFmtId="166" formatCode="0.0%"/>
    <numFmt numFmtId="167" formatCode="0.0x"/>
    <numFmt numFmtId="168" formatCode="#,##0.0 €"/>
  </numFmts>
  <fonts count="9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</font>
    <font>
      <name val="Aptos"/>
      <color rgb="001F1F1F"/>
      <sz val="10"/>
    </font>
    <font>
      <b val="1"/>
      <color rgb="001F4E79"/>
      <sz val="16"/>
    </font>
    <font>
      <i val="1"/>
      <color rgb="00666666"/>
      <sz val="10"/>
    </font>
    <font>
      <b val="1"/>
      <color rgb="001F4E79"/>
      <sz val="12"/>
    </font>
    <font>
      <b val="1"/>
      <color rgb="001F1F1F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EAF3F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4" fontId="7" fillId="3" borderId="1" applyAlignment="1" pivotButton="0" quotePrefix="0" xfId="0">
      <alignment vertical="center"/>
    </xf>
    <xf numFmtId="164" fontId="3" fillId="4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165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165" fontId="7" fillId="3" borderId="1" applyAlignment="1" pivotButton="0" quotePrefix="0" xfId="0">
      <alignment vertical="center"/>
    </xf>
    <xf numFmtId="166" fontId="3" fillId="4" borderId="1" applyAlignment="1" pivotButton="0" quotePrefix="0" xfId="0">
      <alignment vertical="center"/>
    </xf>
    <xf numFmtId="167" fontId="2" fillId="5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168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Implantes estimados por escenario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'Benchmark'!L4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'Benchmark'!$A$5:$A$8</f>
            </numRef>
          </cat>
          <val>
            <numRef>
              <f>'Benchmark'!$L$5:$L$8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Implantes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" customWidth="1" min="3" max="3"/>
    <col width="24" customWidth="1" min="4" max="4"/>
    <col width="18" customWidth="1" min="5" max="5"/>
    <col width="3" customWidth="1" min="6" max="6"/>
    <col width="55" customWidth="1" min="7" max="7"/>
    <col width="24" customWidth="1" min="8" max="8"/>
    <col width="18" customWidth="1" min="9" max="9"/>
    <col width="45" customWidth="1" min="10" max="10"/>
  </cols>
  <sheetData>
    <row r="1" ht="28" customHeight="1">
      <c r="A1" s="1" t="inlineStr">
        <is>
          <t>Simulador de pipeline — Piloto implantología SyM x Climadent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1" t="inlineStr">
        <is>
          <t>Rellena las celdas amarillas. Cada variable impacta únicamente en su fase real del embudo.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6" customHeight="1">
      <c r="A4" s="3" t="inlineStr">
        <is>
          <t>INPUTS GENERALES</t>
        </is>
      </c>
      <c r="B4" s="4" t="n"/>
      <c r="C4" s="2" t="n"/>
      <c r="D4" s="3" t="inlineStr">
        <is>
          <t>CÁLCULOS</t>
        </is>
      </c>
      <c r="E4" s="4" t="n"/>
      <c r="F4" s="2" t="n"/>
      <c r="G4" s="3" t="inlineStr">
        <is>
          <t>PIPELINE RESULTANTE</t>
        </is>
      </c>
      <c r="H4" s="4" t="n"/>
      <c r="I4" s="4" t="n"/>
      <c r="J4" s="4" t="n"/>
    </row>
    <row r="5" ht="22" customHeight="1">
      <c r="A5" s="1" t="inlineStr">
        <is>
          <t>Inversión diaria (€)</t>
        </is>
      </c>
      <c r="B5" s="5" t="n">
        <v>15</v>
      </c>
      <c r="C5" s="2" t="n"/>
      <c r="D5" s="1" t="inlineStr">
        <is>
          <t>CPL base tier</t>
        </is>
      </c>
      <c r="E5" s="6">
        <f>VLOOKUP(B10,Parametros!A4:C6,2,FALSE)</f>
        <v/>
      </c>
      <c r="F5" s="2" t="n"/>
      <c r="G5" s="3" t="inlineStr">
        <is>
          <t>Fase</t>
        </is>
      </c>
      <c r="H5" s="3" t="inlineStr">
        <is>
          <t>KPI</t>
        </is>
      </c>
      <c r="I5" s="3" t="inlineStr">
        <is>
          <t>Resultado</t>
        </is>
      </c>
      <c r="J5" s="3" t="inlineStr">
        <is>
          <t>Lectura</t>
        </is>
      </c>
    </row>
    <row r="6" ht="22" customHeight="1">
      <c r="A6" s="1" t="inlineStr">
        <is>
          <t>Días activos/mes</t>
        </is>
      </c>
      <c r="B6" s="7" t="n">
        <v>30</v>
      </c>
      <c r="C6" s="2" t="n"/>
      <c r="D6" s="1" t="inlineStr">
        <is>
          <t>Ajuste oferta</t>
        </is>
      </c>
      <c r="E6" s="8">
        <f>VLOOKUP(B11,Parametros!E4:G6,2,FALSE)</f>
        <v/>
      </c>
      <c r="F6" s="2" t="n"/>
      <c r="G6" s="1" t="inlineStr">
        <is>
          <t>Captación</t>
        </is>
      </c>
      <c r="H6" s="1" t="inlineStr">
        <is>
          <t>CPL final</t>
        </is>
      </c>
      <c r="I6" s="9">
        <f>E8</f>
        <v/>
      </c>
      <c r="J6" s="1" t="inlineStr">
        <is>
          <t>Coste medio por lead</t>
        </is>
      </c>
    </row>
    <row r="7" ht="22" customHeight="1">
      <c r="A7" s="1" t="inlineStr">
        <is>
          <t>Inversión mensual (€)</t>
        </is>
      </c>
      <c r="B7" s="10">
        <f>B5*B6</f>
        <v/>
      </c>
      <c r="C7" s="2" t="n"/>
      <c r="D7" s="1" t="inlineStr">
        <is>
          <t>Ajuste competencia</t>
        </is>
      </c>
      <c r="E7" s="8">
        <f>VLOOKUP(B12,Parametros!I4:J6,2,FALSE)</f>
        <v/>
      </c>
      <c r="F7" s="2" t="n"/>
      <c r="G7" s="1" t="inlineStr">
        <is>
          <t>Captación</t>
        </is>
      </c>
      <c r="H7" s="1" t="inlineStr">
        <is>
          <t>Leads generados</t>
        </is>
      </c>
      <c r="I7" s="11">
        <f>B7/E8</f>
        <v/>
      </c>
      <c r="J7" s="1" t="inlineStr">
        <is>
          <t>Volumen estimado mensual</t>
        </is>
      </c>
    </row>
    <row r="8" ht="22" customHeight="1">
      <c r="A8" s="1" t="inlineStr">
        <is>
          <t>Ticket medio por paciente (€)</t>
        </is>
      </c>
      <c r="B8" s="5" t="n">
        <v>5000</v>
      </c>
      <c r="C8" s="2" t="n"/>
      <c r="D8" s="1" t="inlineStr">
        <is>
          <t>CPL final</t>
        </is>
      </c>
      <c r="E8" s="6">
        <f>D5*D6*D7</f>
        <v/>
      </c>
      <c r="F8" s="2" t="n"/>
      <c r="G8" s="1" t="inlineStr">
        <is>
          <t>Contacto</t>
        </is>
      </c>
      <c r="H8" s="1" t="inlineStr">
        <is>
          <t>% contactados</t>
        </is>
      </c>
      <c r="I8" s="12">
        <f>E9</f>
        <v/>
      </c>
      <c r="J8" s="1" t="inlineStr">
        <is>
          <t>Impacta rapidez + protocolo + marca</t>
        </is>
      </c>
    </row>
    <row r="9" ht="22" customHeight="1">
      <c r="A9" s="1" t="inlineStr">
        <is>
          <t>Implantes medios por paciente</t>
        </is>
      </c>
      <c r="B9" s="13" t="n">
        <v>3</v>
      </c>
      <c r="C9" s="2" t="n"/>
      <c r="D9" s="1" t="inlineStr">
        <is>
          <t>% contacto</t>
        </is>
      </c>
      <c r="E9" s="14">
        <f>MIN(0.95,SUMIFS(Parametros!C11:C19,Parametros!A11:A19,"Base contacto",Parametros!B11:B19,"Base")+SUMIFS(Parametros!C11:C19,Parametros!A11:A19,A16,Parametros!B11:B19,B16)+SUMIFS(Parametros!C11:C19,Parametros!A11:A19,A17,Parametros!B11:B19,B17)+SUMIFS(Parametros!C11:C19,Parametros!A11:A19,A18,Parametros!B11:B19,B18))</f>
        <v/>
      </c>
      <c r="F9" s="2" t="n"/>
      <c r="G9" s="1" t="inlineStr">
        <is>
          <t>Contacto</t>
        </is>
      </c>
      <c r="H9" s="1" t="inlineStr">
        <is>
          <t>Leads contactados</t>
        </is>
      </c>
      <c r="I9" s="11">
        <f>I7*I8</f>
        <v/>
      </c>
      <c r="J9" s="1" t="inlineStr">
        <is>
          <t>Personas con conversación real</t>
        </is>
      </c>
    </row>
    <row r="10" ht="22" customHeight="1">
      <c r="A10" s="1" t="inlineStr">
        <is>
          <t>Tier geográfico</t>
        </is>
      </c>
      <c r="B10" s="7" t="inlineStr">
        <is>
          <t>Tier 2 - capital secundaria</t>
        </is>
      </c>
      <c r="C10" s="2" t="n"/>
      <c r="D10" s="1" t="inlineStr">
        <is>
          <t>% cita/contacto</t>
        </is>
      </c>
      <c r="E10" s="14">
        <f>MIN(0.90,SUMIFS(Parametros!G11:G17,Parametros!E11:E17,"Base agendado",Parametros!F11:F17,"Base")+SUMIFS(Parametros!G11:G17,Parametros!E11:E17,A22,Parametros!F11:F17,B22)+SUMIFS(Parametros!G11:G17,Parametros!E11:E17,A23,Parametros!F11:F17,B23))</f>
        <v/>
      </c>
      <c r="F10" s="2" t="n"/>
      <c r="G10" s="1" t="inlineStr">
        <is>
          <t>Agendado</t>
        </is>
      </c>
      <c r="H10" s="1" t="inlineStr">
        <is>
          <t>% cita/contacto</t>
        </is>
      </c>
      <c r="I10" s="12">
        <f>E10</f>
        <v/>
      </c>
      <c r="J10" s="1" t="inlineStr">
        <is>
          <t>Impacta recepción + script</t>
        </is>
      </c>
    </row>
    <row r="11" ht="22" customHeight="1">
      <c r="A11" s="1" t="inlineStr">
        <is>
          <t>Oferta/campaña</t>
        </is>
      </c>
      <c r="B11" s="7" t="inlineStr">
        <is>
          <t>Media</t>
        </is>
      </c>
      <c r="C11" s="2" t="n"/>
      <c r="D11" s="1" t="inlineStr">
        <is>
          <t>% asistencia</t>
        </is>
      </c>
      <c r="E11" s="14">
        <f>MIN(0.90,SUMIFS(Parametros!K11:K19,Parametros!I11:I19,"Base asistencia",Parametros!J11:J19,"Base")+SUMIFS(Parametros!K11:K19,Parametros!I11:I19,A27,Parametros!J11:J19,B27)+SUMIFS(Parametros!K11:K19,Parametros!I11:I19,A28,Parametros!J11:J19,B28)+SUMIFS(Parametros!K11:K19,Parametros!I11:I19,A29,Parametros!J11:J19,B29))</f>
        <v/>
      </c>
      <c r="F11" s="2" t="n"/>
      <c r="G11" s="1" t="inlineStr">
        <is>
          <t>Agendado</t>
        </is>
      </c>
      <c r="H11" s="1" t="inlineStr">
        <is>
          <t>Citas agendadas</t>
        </is>
      </c>
      <c r="I11" s="11">
        <f>I9*I10</f>
        <v/>
      </c>
      <c r="J11" s="1" t="inlineStr">
        <is>
          <t>Citas generadas</t>
        </is>
      </c>
    </row>
    <row r="12" ht="22" customHeight="1">
      <c r="A12" s="1" t="inlineStr">
        <is>
          <t>Competencia local</t>
        </is>
      </c>
      <c r="B12" s="7" t="inlineStr">
        <is>
          <t>Media</t>
        </is>
      </c>
      <c r="C12" s="2" t="n"/>
      <c r="D12" s="1" t="inlineStr">
        <is>
          <t>% cierre/visita</t>
        </is>
      </c>
      <c r="E12" s="14">
        <f>MIN(0.55,SUMIFS(Parametros!O11:O21,Parametros!M11:M21,"Base cierre",Parametros!N11:N21,"Base")+SUMIFS(Parametros!O11:O21,Parametros!M11:M21,A34,Parametros!N11:N21,B34)+SUMIFS(Parametros!O11:O21,Parametros!M11:M21,A35,Parametros!N11:N21,B35)+SUMIFS(Parametros!O11:O21,Parametros!M11:M21,A36,Parametros!N11:N21,B36)+SUMIFS(Parametros!O11:O21,Parametros!M11:M21,A37,Parametros!N11:N21,B37))</f>
        <v/>
      </c>
      <c r="F12" s="2" t="n"/>
      <c r="G12" s="1" t="inlineStr">
        <is>
          <t>Asistencia</t>
        </is>
      </c>
      <c r="H12" s="1" t="inlineStr">
        <is>
          <t>% asistencia</t>
        </is>
      </c>
      <c r="I12" s="12">
        <f>E11</f>
        <v/>
      </c>
      <c r="J12" s="1" t="inlineStr">
        <is>
          <t>Impacta recordatorios + seguimiento + autoridad</t>
        </is>
      </c>
    </row>
    <row r="13" ht="22" customHeight="1">
      <c r="A13" s="2" t="n"/>
      <c r="B13" s="2" t="n"/>
      <c r="C13" s="2" t="n"/>
      <c r="D13" s="2" t="n"/>
      <c r="E13" s="2" t="n"/>
      <c r="F13" s="2" t="n"/>
      <c r="G13" s="1" t="inlineStr">
        <is>
          <t>Asistencia</t>
        </is>
      </c>
      <c r="H13" s="1" t="inlineStr">
        <is>
          <t>Primeras visitas</t>
        </is>
      </c>
      <c r="I13" s="11">
        <f>I11*I12</f>
        <v/>
      </c>
      <c r="J13" s="1" t="inlineStr">
        <is>
          <t>Visitas reales</t>
        </is>
      </c>
    </row>
    <row r="14" ht="22" customHeight="1">
      <c r="A14" s="2" t="n"/>
      <c r="B14" s="2" t="n"/>
      <c r="C14" s="2" t="n"/>
      <c r="D14" s="2" t="n"/>
      <c r="E14" s="2" t="n"/>
      <c r="F14" s="2" t="n"/>
      <c r="G14" s="1" t="inlineStr">
        <is>
          <t>Cierre</t>
        </is>
      </c>
      <c r="H14" s="1" t="inlineStr">
        <is>
          <t>% cierre/visita</t>
        </is>
      </c>
      <c r="I14" s="12">
        <f>E12</f>
        <v/>
      </c>
      <c r="J14" s="1" t="inlineStr">
        <is>
          <t>Impacta diagnóstico + financiación + asesor + PV</t>
        </is>
      </c>
    </row>
    <row r="15" ht="26" customHeight="1">
      <c r="A15" s="3" t="inlineStr">
        <is>
          <t>FASE 2 · CONTACTO</t>
        </is>
      </c>
      <c r="B15" s="4" t="n"/>
      <c r="C15" s="2" t="n"/>
      <c r="D15" s="2" t="n"/>
      <c r="E15" s="2" t="n"/>
      <c r="F15" s="2" t="n"/>
      <c r="G15" s="1" t="inlineStr">
        <is>
          <t>Cierre</t>
        </is>
      </c>
      <c r="H15" s="1" t="inlineStr">
        <is>
          <t>% cierre sobre leads</t>
        </is>
      </c>
      <c r="I15" s="12">
        <f>I14*I12*I10*I8</f>
        <v/>
      </c>
      <c r="J15" s="1" t="inlineStr">
        <is>
          <t>Conversión total del embudo</t>
        </is>
      </c>
    </row>
    <row r="16" ht="22" customHeight="1">
      <c r="A16" s="1" t="inlineStr">
        <is>
          <t>Contacto en el día</t>
        </is>
      </c>
      <c r="B16" s="7" t="inlineStr">
        <is>
          <t>Sí</t>
        </is>
      </c>
      <c r="C16" s="2" t="n"/>
      <c r="D16" s="2" t="n"/>
      <c r="E16" s="2" t="n"/>
      <c r="F16" s="2" t="n"/>
      <c r="G16" s="1" t="inlineStr">
        <is>
          <t>Cierre</t>
        </is>
      </c>
      <c r="H16" s="1" t="inlineStr">
        <is>
          <t>Pacientes cerrados</t>
        </is>
      </c>
      <c r="I16" s="11">
        <f>I7*I15</f>
        <v/>
      </c>
      <c r="J16" s="1" t="inlineStr">
        <is>
          <t>Tratamientos iniciados</t>
        </is>
      </c>
    </row>
    <row r="17" ht="22" customHeight="1">
      <c r="A17" s="1" t="inlineStr">
        <is>
          <t>Protocolo llamada Climadent</t>
        </is>
      </c>
      <c r="B17" s="7" t="inlineStr">
        <is>
          <t>Sí</t>
        </is>
      </c>
      <c r="C17" s="2" t="n"/>
      <c r="D17" s="2" t="n"/>
      <c r="E17" s="2" t="n"/>
      <c r="F17" s="2" t="n"/>
      <c r="G17" s="1" t="inlineStr">
        <is>
          <t>Impacto SyM</t>
        </is>
      </c>
      <c r="H17" s="1" t="inlineStr">
        <is>
          <t>Implantes estimados</t>
        </is>
      </c>
      <c r="I17" s="11">
        <f>I16*B9</f>
        <v/>
      </c>
      <c r="J17" s="1" t="inlineStr">
        <is>
          <t>Consumo directo estimado para SyM</t>
        </is>
      </c>
    </row>
    <row r="18" ht="22" customHeight="1">
      <c r="A18" s="1" t="inlineStr">
        <is>
          <t>Marca/Instagram/Web</t>
        </is>
      </c>
      <c r="B18" s="7" t="inlineStr">
        <is>
          <t>Correcta</t>
        </is>
      </c>
      <c r="C18" s="2" t="n"/>
      <c r="D18" s="2" t="n"/>
      <c r="E18" s="2" t="n"/>
      <c r="F18" s="2" t="n"/>
      <c r="G18" s="1" t="inlineStr">
        <is>
          <t>Impacto económico</t>
        </is>
      </c>
      <c r="H18" s="1" t="inlineStr">
        <is>
          <t>Ingresos clínica</t>
        </is>
      </c>
      <c r="I18" s="9">
        <f>I16*B8</f>
        <v/>
      </c>
      <c r="J18" s="1" t="inlineStr">
        <is>
          <t>Facturación estimada</t>
        </is>
      </c>
    </row>
    <row r="19" ht="22" customHeight="1">
      <c r="A19" s="2" t="n"/>
      <c r="B19" s="2" t="n"/>
      <c r="C19" s="2" t="n"/>
      <c r="D19" s="2" t="n"/>
      <c r="E19" s="2" t="n"/>
      <c r="F19" s="2" t="n"/>
      <c r="G19" s="1" t="inlineStr">
        <is>
          <t>Impacto económico</t>
        </is>
      </c>
      <c r="H19" s="1" t="inlineStr">
        <is>
          <t>CAC por paciente</t>
        </is>
      </c>
      <c r="I19" s="9">
        <f>IF(I16&gt;0,B7/I16,0)</f>
        <v/>
      </c>
      <c r="J19" s="1" t="inlineStr">
        <is>
          <t>Coste adquisición paciente</t>
        </is>
      </c>
    </row>
    <row r="20" ht="22" customHeight="1">
      <c r="A20" s="2" t="n"/>
      <c r="B20" s="2" t="n"/>
      <c r="C20" s="2" t="n"/>
      <c r="D20" s="2" t="n"/>
      <c r="E20" s="2" t="n"/>
      <c r="F20" s="2" t="n"/>
      <c r="G20" s="1" t="inlineStr">
        <is>
          <t>Impacto económico</t>
        </is>
      </c>
      <c r="H20" s="1" t="inlineStr">
        <is>
          <t>ROI sobre inversión</t>
        </is>
      </c>
      <c r="I20" s="15">
        <f>IF(B7&gt;0,I18/B7,0)</f>
        <v/>
      </c>
      <c r="J20" s="1" t="inlineStr">
        <is>
          <t>Ingresos / inversión</t>
        </is>
      </c>
    </row>
    <row r="21" ht="26" customHeight="1">
      <c r="A21" s="3" t="inlineStr">
        <is>
          <t>FASE 3 · AGENDADO</t>
        </is>
      </c>
      <c r="B21" s="4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 ht="22" customHeight="1">
      <c r="A22" s="1" t="inlineStr">
        <is>
          <t>Recepción formada</t>
        </is>
      </c>
      <c r="B22" s="7" t="inlineStr">
        <is>
          <t>Sí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</row>
    <row r="23" ht="22" customHeight="1">
      <c r="A23" s="1" t="inlineStr">
        <is>
          <t>Script de cita</t>
        </is>
      </c>
      <c r="B23" s="7" t="inlineStr">
        <is>
          <t>Sí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</row>
    <row r="24" ht="22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 ht="22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 ht="26" customHeight="1">
      <c r="A26" s="3" t="inlineStr">
        <is>
          <t>FASE 4 · ASISTENCIA</t>
        </is>
      </c>
      <c r="B26" s="4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 ht="22" customHeight="1">
      <c r="A27" s="1" t="inlineStr">
        <is>
          <t>Recordatorios</t>
        </is>
      </c>
      <c r="B27" s="7" t="inlineStr">
        <is>
          <t>Sí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</row>
    <row r="28" ht="22" customHeight="1">
      <c r="A28" s="1" t="inlineStr">
        <is>
          <t>Formación seguimiento</t>
        </is>
      </c>
      <c r="B28" s="7" t="inlineStr">
        <is>
          <t>Sí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</row>
    <row r="29" ht="22" customHeight="1">
      <c r="A29" s="1" t="inlineStr">
        <is>
          <t>Autoridad digital</t>
        </is>
      </c>
      <c r="B29" s="7" t="inlineStr">
        <is>
          <t>Correcta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</row>
    <row r="30" ht="22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 ht="22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 ht="22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 ht="26" customHeight="1">
      <c r="A33" s="3" t="inlineStr">
        <is>
          <t>FASE 5 · CIERRE</t>
        </is>
      </c>
      <c r="B33" s="4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 ht="22" customHeight="1">
      <c r="A34" s="1" t="inlineStr">
        <is>
          <t>TAC/diagnóstico</t>
        </is>
      </c>
      <c r="B34" s="7" t="inlineStr">
        <is>
          <t>Sí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</row>
    <row r="35" ht="22" customHeight="1">
      <c r="A35" s="1" t="inlineStr">
        <is>
          <t>Financiación</t>
        </is>
      </c>
      <c r="B35" s="7" t="inlineStr">
        <is>
          <t>Buenas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</row>
    <row r="36" ht="22" customHeight="1">
      <c r="A36" s="1" t="inlineStr">
        <is>
          <t>Asesor comercial</t>
        </is>
      </c>
      <c r="B36" s="7" t="inlineStr">
        <is>
          <t>Sí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</row>
    <row r="37" ht="22" customHeight="1">
      <c r="A37" s="1" t="inlineStr">
        <is>
          <t>Protocolo primera visita</t>
        </is>
      </c>
      <c r="B37" s="7" t="inlineStr">
        <is>
          <t>Sí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</row>
    <row r="38" ht="22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 ht="22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 ht="22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 ht="26" customHeight="1">
      <c r="A41" s="1" t="inlineStr">
        <is>
          <t>Mapa de impacto de variables por fase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 ht="26" customHeight="1">
      <c r="A42" s="3" t="inlineStr">
        <is>
          <t>Variable</t>
        </is>
      </c>
      <c r="B42" s="3" t="inlineStr">
        <is>
          <t>Captación</t>
        </is>
      </c>
      <c r="C42" s="3" t="inlineStr">
        <is>
          <t>Contacto</t>
        </is>
      </c>
      <c r="D42" s="3" t="inlineStr">
        <is>
          <t>Agendado</t>
        </is>
      </c>
      <c r="E42" s="3" t="inlineStr">
        <is>
          <t>Asistencia</t>
        </is>
      </c>
      <c r="F42" s="3" t="inlineStr">
        <is>
          <t>Cierre</t>
        </is>
      </c>
      <c r="G42" s="3" t="inlineStr">
        <is>
          <t>Motivo</t>
        </is>
      </c>
      <c r="H42" s="2" t="n"/>
      <c r="I42" s="2" t="n"/>
      <c r="J42" s="2" t="n"/>
    </row>
    <row r="43" ht="22" customHeight="1">
      <c r="A43" s="1" t="inlineStr">
        <is>
          <t>Tier geográfico</t>
        </is>
      </c>
      <c r="B43" s="16" t="inlineStr">
        <is>
          <t>Sí</t>
        </is>
      </c>
      <c r="C43" s="17" t="inlineStr"/>
      <c r="D43" s="17" t="inlineStr"/>
      <c r="E43" s="17" t="inlineStr"/>
      <c r="F43" s="17" t="inlineStr"/>
      <c r="G43" s="18" t="inlineStr">
        <is>
          <t>Afecta al CPL y al volumen de leads por competencia y tamaño de mercado</t>
        </is>
      </c>
      <c r="H43" s="2" t="n"/>
      <c r="I43" s="2" t="n"/>
      <c r="J43" s="2" t="n"/>
    </row>
    <row r="44" ht="22" customHeight="1">
      <c r="A44" s="1" t="inlineStr">
        <is>
          <t>Oferta/campaña</t>
        </is>
      </c>
      <c r="B44" s="16" t="inlineStr">
        <is>
          <t>Sí</t>
        </is>
      </c>
      <c r="C44" s="17" t="inlineStr"/>
      <c r="D44" s="17" t="inlineStr"/>
      <c r="E44" s="17" t="inlineStr"/>
      <c r="F44" s="17" t="inlineStr"/>
      <c r="G44" s="18" t="inlineStr">
        <is>
          <t>Afecta a la respuesta del anuncio y al coste por lead</t>
        </is>
      </c>
      <c r="H44" s="2" t="n"/>
      <c r="I44" s="2" t="n"/>
      <c r="J44" s="2" t="n"/>
    </row>
    <row r="45" ht="22" customHeight="1">
      <c r="A45" s="1" t="inlineStr">
        <is>
          <t>Competencia local</t>
        </is>
      </c>
      <c r="B45" s="16" t="inlineStr">
        <is>
          <t>Sí</t>
        </is>
      </c>
      <c r="C45" s="17" t="inlineStr"/>
      <c r="D45" s="17" t="inlineStr"/>
      <c r="E45" s="17" t="inlineStr"/>
      <c r="F45" s="17" t="inlineStr"/>
      <c r="G45" s="18" t="inlineStr">
        <is>
          <t>Afecta al coste de captar atención</t>
        </is>
      </c>
      <c r="H45" s="2" t="n"/>
      <c r="I45" s="2" t="n"/>
      <c r="J45" s="2" t="n"/>
    </row>
    <row r="46" ht="22" customHeight="1">
      <c r="A46" s="1" t="inlineStr">
        <is>
          <t>Contacto en el día</t>
        </is>
      </c>
      <c r="B46" s="17" t="inlineStr"/>
      <c r="C46" s="16" t="inlineStr">
        <is>
          <t>Sí</t>
        </is>
      </c>
      <c r="D46" s="17" t="inlineStr"/>
      <c r="E46" s="17" t="inlineStr"/>
      <c r="F46" s="17" t="inlineStr"/>
      <c r="G46" s="18" t="inlineStr">
        <is>
          <t>Afecta a la probabilidad de hablar con el lead</t>
        </is>
      </c>
      <c r="H46" s="2" t="n"/>
      <c r="I46" s="2" t="n"/>
      <c r="J46" s="2" t="n"/>
    </row>
    <row r="47" ht="22" customHeight="1">
      <c r="A47" s="1" t="inlineStr">
        <is>
          <t>Marca/Instagram/Web</t>
        </is>
      </c>
      <c r="B47" s="17" t="inlineStr"/>
      <c r="C47" s="16" t="inlineStr">
        <is>
          <t>Sí</t>
        </is>
      </c>
      <c r="D47" s="17" t="inlineStr"/>
      <c r="E47" s="16" t="inlineStr">
        <is>
          <t>Sí</t>
        </is>
      </c>
      <c r="F47" s="17" t="inlineStr"/>
      <c r="G47" s="18" t="inlineStr">
        <is>
          <t>Aumenta confianza antes de responder y reduce fricción para acudir</t>
        </is>
      </c>
      <c r="H47" s="2" t="n"/>
      <c r="I47" s="2" t="n"/>
      <c r="J47" s="2" t="n"/>
    </row>
    <row r="48" ht="22" customHeight="1">
      <c r="A48" s="1" t="inlineStr">
        <is>
          <t>Recepción formada</t>
        </is>
      </c>
      <c r="B48" s="17" t="inlineStr"/>
      <c r="C48" s="17" t="inlineStr"/>
      <c r="D48" s="16" t="inlineStr">
        <is>
          <t>Sí</t>
        </is>
      </c>
      <c r="E48" s="17" t="inlineStr"/>
      <c r="F48" s="17" t="inlineStr"/>
      <c r="G48" s="18" t="inlineStr">
        <is>
          <t>Convierte conversaciones en citas</t>
        </is>
      </c>
      <c r="H48" s="2" t="n"/>
      <c r="I48" s="2" t="n"/>
      <c r="J48" s="2" t="n"/>
    </row>
    <row r="49" ht="22" customHeight="1">
      <c r="A49" s="1" t="inlineStr">
        <is>
          <t>Script de cita</t>
        </is>
      </c>
      <c r="B49" s="17" t="inlineStr"/>
      <c r="C49" s="17" t="inlineStr"/>
      <c r="D49" s="16" t="inlineStr">
        <is>
          <t>Sí</t>
        </is>
      </c>
      <c r="E49" s="17" t="inlineStr"/>
      <c r="F49" s="17" t="inlineStr"/>
      <c r="G49" s="18" t="inlineStr">
        <is>
          <t>Mejora gestión de objeciones iniciales</t>
        </is>
      </c>
      <c r="H49" s="2" t="n"/>
      <c r="I49" s="2" t="n"/>
      <c r="J49" s="2" t="n"/>
    </row>
    <row r="50" ht="22" customHeight="1">
      <c r="A50" s="1" t="inlineStr">
        <is>
          <t>Recordatorios</t>
        </is>
      </c>
      <c r="B50" s="17" t="inlineStr"/>
      <c r="C50" s="17" t="inlineStr"/>
      <c r="D50" s="17" t="inlineStr"/>
      <c r="E50" s="16" t="inlineStr">
        <is>
          <t>Sí</t>
        </is>
      </c>
      <c r="F50" s="17" t="inlineStr"/>
      <c r="G50" s="18" t="inlineStr">
        <is>
          <t>Reduce no show</t>
        </is>
      </c>
      <c r="H50" s="2" t="n"/>
      <c r="I50" s="2" t="n"/>
      <c r="J50" s="2" t="n"/>
    </row>
    <row r="51" ht="22" customHeight="1">
      <c r="A51" s="1" t="inlineStr">
        <is>
          <t>Formación seguimiento</t>
        </is>
      </c>
      <c r="B51" s="17" t="inlineStr"/>
      <c r="C51" s="17" t="inlineStr"/>
      <c r="D51" s="17" t="inlineStr"/>
      <c r="E51" s="16" t="inlineStr">
        <is>
          <t>Sí</t>
        </is>
      </c>
      <c r="F51" s="17" t="inlineStr"/>
      <c r="G51" s="18" t="inlineStr">
        <is>
          <t>Aumenta asistencia y orden operativo</t>
        </is>
      </c>
      <c r="H51" s="2" t="n"/>
      <c r="I51" s="2" t="n"/>
      <c r="J51" s="2" t="n"/>
    </row>
    <row r="52" ht="22" customHeight="1">
      <c r="A52" s="1" t="inlineStr">
        <is>
          <t>TAC/diagnóstico</t>
        </is>
      </c>
      <c r="B52" s="17" t="inlineStr"/>
      <c r="C52" s="17" t="inlineStr"/>
      <c r="D52" s="17" t="inlineStr"/>
      <c r="E52" s="17" t="inlineStr"/>
      <c r="F52" s="16" t="inlineStr">
        <is>
          <t>Sí</t>
        </is>
      </c>
      <c r="G52" s="18" t="inlineStr">
        <is>
          <t>Afecta a aceptación del plan</t>
        </is>
      </c>
      <c r="H52" s="2" t="n"/>
      <c r="I52" s="2" t="n"/>
      <c r="J52" s="2" t="n"/>
    </row>
    <row r="53" ht="22" customHeight="1">
      <c r="A53" s="1" t="inlineStr">
        <is>
          <t>Financiación</t>
        </is>
      </c>
      <c r="B53" s="17" t="inlineStr"/>
      <c r="C53" s="17" t="inlineStr"/>
      <c r="D53" s="17" t="inlineStr"/>
      <c r="E53" s="17" t="inlineStr"/>
      <c r="F53" s="16" t="inlineStr">
        <is>
          <t>Sí</t>
        </is>
      </c>
      <c r="G53" s="18" t="inlineStr">
        <is>
          <t>Afecta a capacidad de compra</t>
        </is>
      </c>
      <c r="H53" s="2" t="n"/>
      <c r="I53" s="2" t="n"/>
      <c r="J53" s="2" t="n"/>
    </row>
    <row r="54" ht="22" customHeight="1">
      <c r="A54" s="1" t="inlineStr">
        <is>
          <t>Asesor comercial</t>
        </is>
      </c>
      <c r="B54" s="17" t="inlineStr"/>
      <c r="C54" s="17" t="inlineStr"/>
      <c r="D54" s="17" t="inlineStr"/>
      <c r="E54" s="17" t="inlineStr"/>
      <c r="F54" s="16" t="inlineStr">
        <is>
          <t>Sí</t>
        </is>
      </c>
      <c r="G54" s="18" t="inlineStr">
        <is>
          <t>Afecta al cierre y al ticket</t>
        </is>
      </c>
      <c r="H54" s="2" t="n"/>
      <c r="I54" s="2" t="n"/>
      <c r="J54" s="2" t="n"/>
    </row>
    <row r="55" ht="22" customHeight="1">
      <c r="A55" s="1" t="inlineStr">
        <is>
          <t>Protocolo primera visita</t>
        </is>
      </c>
      <c r="B55" s="17" t="inlineStr"/>
      <c r="C55" s="17" t="inlineStr"/>
      <c r="D55" s="17" t="inlineStr"/>
      <c r="E55" s="17" t="inlineStr"/>
      <c r="F55" s="16" t="inlineStr">
        <is>
          <t>Sí</t>
        </is>
      </c>
      <c r="G55" s="18" t="inlineStr">
        <is>
          <t>Afecta directamente a conversión clínica</t>
        </is>
      </c>
      <c r="H55" s="2" t="n"/>
      <c r="I55" s="2" t="n"/>
      <c r="J55" s="2" t="n"/>
    </row>
    <row r="56" ht="22" customHeight="1"/>
    <row r="57" ht="22" customHeight="1"/>
    <row r="58" ht="22" customHeight="1"/>
    <row r="59" ht="22" customHeight="1"/>
  </sheetData>
  <mergeCells count="2">
    <mergeCell ref="A2:H2"/>
    <mergeCell ref="A1:H1"/>
  </mergeCells>
  <conditionalFormatting sqref="I8:I15">
    <cfRule type="colorScale" priority="1">
      <colorScale>
        <cfvo type="min"/>
        <cfvo type="percentile" val="50"/>
        <cfvo type="max"/>
        <color rgb="00FCE4D6"/>
        <color rgb="00FFF2CC"/>
        <color rgb="00E2F0D9"/>
      </colorScale>
    </cfRule>
  </conditionalFormatting>
  <conditionalFormatting sqref="I16:I20">
    <cfRule type="dataBar" priority="2">
      <dataBar showValue="1">
        <cfvo type="min"/>
        <cfvo type="max"/>
        <color rgb="005B9BD5"/>
      </dataBar>
    </cfRule>
  </conditionalFormatting>
  <dataValidations count="7">
    <dataValidation sqref="B10" showDropDown="0" showInputMessage="0" showErrorMessage="0" allowBlank="0" type="list">
      <formula1>=TierList</formula1>
    </dataValidation>
    <dataValidation sqref="B11" showDropDown="0" showInputMessage="0" showErrorMessage="0" allowBlank="0" type="list">
      <formula1>=OfertaList</formula1>
    </dataValidation>
    <dataValidation sqref="B12" showDropDown="0" showInputMessage="0" showErrorMessage="0" allowBlank="0" type="list">
      <formula1>=CompetenciaList</formula1>
    </dataValidation>
    <dataValidation sqref="B16 B36" showDropDown="0" showInputMessage="0" showErrorMessage="0" allowBlank="0" type="list">
      <formula1>=SiNoList</formula1>
    </dataValidation>
    <dataValidation sqref="B17 B22 B23 B27 B28 B34 B37" showDropDown="0" showInputMessage="0" showErrorMessage="0" allowBlank="0" type="list">
      <formula1>=SiParcialNoList</formula1>
    </dataValidation>
    <dataValidation sqref="B18 B29" showDropDown="0" showInputMessage="0" showErrorMessage="0" allowBlank="0" type="list">
      <formula1>=MarcaList</formula1>
    </dataValidation>
    <dataValidation sqref="B35" showDropDown="0" showInputMessage="0" showErrorMessage="0" allowBlank="0" type="list">
      <formula1>=FinanciacionList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2" t="inlineStr">
        <is>
          <t>Tablas de parámetros del simulador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9" t="inlineStr">
        <is>
          <t>Tier geográfico</t>
        </is>
      </c>
      <c r="B3" s="19" t="inlineStr">
        <is>
          <t>CPL base</t>
        </is>
      </c>
      <c r="C3" s="19" t="inlineStr">
        <is>
          <t>Nota</t>
        </is>
      </c>
      <c r="D3" s="2" t="n"/>
      <c r="E3" s="19" t="inlineStr">
        <is>
          <t>Oferta/campaña</t>
        </is>
      </c>
      <c r="F3" s="19" t="inlineStr">
        <is>
          <t>Ajuste CPL</t>
        </is>
      </c>
      <c r="G3" s="19" t="inlineStr">
        <is>
          <t>Nota</t>
        </is>
      </c>
      <c r="H3" s="2" t="n"/>
      <c r="I3" s="19" t="inlineStr">
        <is>
          <t>Competencia local</t>
        </is>
      </c>
      <c r="J3" s="19" t="inlineStr">
        <is>
          <t>Ajuste CPL</t>
        </is>
      </c>
      <c r="K3" s="2" t="n"/>
      <c r="L3" s="2" t="n"/>
      <c r="M3" s="2" t="n"/>
      <c r="N3" s="2" t="n"/>
      <c r="O3" s="2" t="n"/>
    </row>
    <row r="4">
      <c r="A4" s="2" t="inlineStr">
        <is>
          <t>Tier 1 - Madrid/Barcelona/Valencia</t>
        </is>
      </c>
      <c r="B4" s="2" t="n">
        <v>10.5</v>
      </c>
      <c r="C4" s="2" t="inlineStr">
        <is>
          <t>Mercados grandes: más competencia y menor volumen por euro</t>
        </is>
      </c>
      <c r="D4" s="2" t="n"/>
      <c r="E4" s="2" t="inlineStr">
        <is>
          <t>Básica</t>
        </is>
      </c>
      <c r="F4" s="2" t="n">
        <v>1.1</v>
      </c>
      <c r="G4" s="2" t="inlineStr">
        <is>
          <t>Oferta menos diferencial</t>
        </is>
      </c>
      <c r="H4" s="2" t="n"/>
      <c r="I4" s="2" t="inlineStr">
        <is>
          <t>Alta</t>
        </is>
      </c>
      <c r="J4" s="2" t="n">
        <v>1.15</v>
      </c>
      <c r="K4" s="2" t="n"/>
      <c r="L4" s="2" t="n"/>
      <c r="M4" s="2" t="n"/>
      <c r="N4" s="2" t="n"/>
      <c r="O4" s="2" t="n"/>
    </row>
    <row r="5">
      <c r="A5" s="2" t="inlineStr">
        <is>
          <t>Tier 2 - capital secundaria</t>
        </is>
      </c>
      <c r="B5" s="2" t="n">
        <v>6</v>
      </c>
      <c r="C5" s="2" t="inlineStr">
        <is>
          <t>Buen equilibrio entre volumen y calidad</t>
        </is>
      </c>
      <c r="D5" s="2" t="n"/>
      <c r="E5" s="2" t="inlineStr">
        <is>
          <t>Media</t>
        </is>
      </c>
      <c r="F5" s="2" t="n">
        <v>1</v>
      </c>
      <c r="G5" s="2" t="inlineStr">
        <is>
          <t>Oferta estándar defendible</t>
        </is>
      </c>
      <c r="H5" s="2" t="n"/>
      <c r="I5" s="2" t="inlineStr">
        <is>
          <t>Media</t>
        </is>
      </c>
      <c r="J5" s="2" t="n">
        <v>1</v>
      </c>
      <c r="K5" s="2" t="n"/>
      <c r="L5" s="2" t="n"/>
      <c r="M5" s="2" t="n"/>
      <c r="N5" s="2" t="n"/>
      <c r="O5" s="2" t="n"/>
    </row>
    <row r="6">
      <c r="A6" s="2" t="inlineStr">
        <is>
          <t>Tier 3 - ciudad pequeña/rural</t>
        </is>
      </c>
      <c r="B6" s="2" t="n">
        <v>4.5</v>
      </c>
      <c r="C6" s="2" t="inlineStr">
        <is>
          <t>Mejor rendimiento habitual en captación</t>
        </is>
      </c>
      <c r="D6" s="2" t="n"/>
      <c r="E6" s="2" t="inlineStr">
        <is>
          <t>Fuerte</t>
        </is>
      </c>
      <c r="F6" s="2" t="n">
        <v>0.9</v>
      </c>
      <c r="G6" s="2" t="inlineStr">
        <is>
          <t>Oferta más atractiva / mayor respuesta</t>
        </is>
      </c>
      <c r="H6" s="2" t="n"/>
      <c r="I6" s="2" t="inlineStr">
        <is>
          <t>Baja</t>
        </is>
      </c>
      <c r="J6" s="2" t="n">
        <v>0.9</v>
      </c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Contacto</t>
        </is>
      </c>
      <c r="B9" s="2" t="n"/>
      <c r="C9" s="2" t="n"/>
      <c r="D9" s="2" t="n"/>
      <c r="E9" s="2" t="inlineStr">
        <is>
          <t>Agendado</t>
        </is>
      </c>
      <c r="F9" s="2" t="n"/>
      <c r="G9" s="2" t="n"/>
      <c r="H9" s="2" t="n"/>
      <c r="I9" s="2" t="inlineStr">
        <is>
          <t>Asistencia</t>
        </is>
      </c>
      <c r="J9" s="2" t="n"/>
      <c r="K9" s="2" t="n"/>
      <c r="L9" s="2" t="n"/>
      <c r="M9" s="2" t="inlineStr">
        <is>
          <t>Cierre</t>
        </is>
      </c>
      <c r="N9" s="2" t="n"/>
      <c r="O9" s="2" t="n"/>
    </row>
    <row r="10">
      <c r="A10" s="19" t="inlineStr">
        <is>
          <t>Variable</t>
        </is>
      </c>
      <c r="B10" s="19" t="inlineStr">
        <is>
          <t>Opción</t>
        </is>
      </c>
      <c r="C10" s="19" t="inlineStr">
        <is>
          <t>Impacto</t>
        </is>
      </c>
      <c r="D10" s="2" t="n"/>
      <c r="E10" s="19" t="inlineStr">
        <is>
          <t>Variable</t>
        </is>
      </c>
      <c r="F10" s="19" t="inlineStr">
        <is>
          <t>Opción</t>
        </is>
      </c>
      <c r="G10" s="19" t="inlineStr">
        <is>
          <t>Impacto</t>
        </is>
      </c>
      <c r="H10" s="2" t="n"/>
      <c r="I10" s="19" t="inlineStr">
        <is>
          <t>Variable</t>
        </is>
      </c>
      <c r="J10" s="19" t="inlineStr">
        <is>
          <t>Opción</t>
        </is>
      </c>
      <c r="K10" s="19" t="inlineStr">
        <is>
          <t>Impacto</t>
        </is>
      </c>
      <c r="L10" s="2" t="n"/>
      <c r="M10" s="19" t="inlineStr">
        <is>
          <t>Variable</t>
        </is>
      </c>
      <c r="N10" s="19" t="inlineStr">
        <is>
          <t>Opción</t>
        </is>
      </c>
      <c r="O10" s="19" t="inlineStr">
        <is>
          <t>Impacto</t>
        </is>
      </c>
    </row>
    <row r="11">
      <c r="A11" s="2" t="inlineStr">
        <is>
          <t>Base contacto</t>
        </is>
      </c>
      <c r="B11" s="2" t="inlineStr">
        <is>
          <t>Base</t>
        </is>
      </c>
      <c r="C11" s="2" t="n">
        <v>0.65</v>
      </c>
      <c r="D11" s="2" t="n"/>
      <c r="E11" s="2" t="inlineStr">
        <is>
          <t>Base agendado</t>
        </is>
      </c>
      <c r="F11" s="2" t="inlineStr">
        <is>
          <t>Base</t>
        </is>
      </c>
      <c r="G11" s="2" t="n">
        <v>0.55</v>
      </c>
      <c r="H11" s="2" t="n"/>
      <c r="I11" s="2" t="inlineStr">
        <is>
          <t>Base asistencia</t>
        </is>
      </c>
      <c r="J11" s="2" t="inlineStr">
        <is>
          <t>Base</t>
        </is>
      </c>
      <c r="K11" s="2" t="n">
        <v>0.5</v>
      </c>
      <c r="L11" s="2" t="n"/>
      <c r="M11" s="2" t="inlineStr">
        <is>
          <t>Base cierre</t>
        </is>
      </c>
      <c r="N11" s="2" t="inlineStr">
        <is>
          <t>Base</t>
        </is>
      </c>
      <c r="O11" s="2" t="n">
        <v>0.18</v>
      </c>
    </row>
    <row r="12">
      <c r="A12" s="2" t="inlineStr">
        <is>
          <t>Contacto en el día</t>
        </is>
      </c>
      <c r="B12" s="2" t="inlineStr">
        <is>
          <t>Sí</t>
        </is>
      </c>
      <c r="C12" s="2" t="n">
        <v>0.12</v>
      </c>
      <c r="D12" s="2" t="n"/>
      <c r="E12" s="2" t="inlineStr">
        <is>
          <t>Recepción formada</t>
        </is>
      </c>
      <c r="F12" s="2" t="inlineStr">
        <is>
          <t>Sí</t>
        </is>
      </c>
      <c r="G12" s="2" t="n">
        <v>0.12</v>
      </c>
      <c r="H12" s="2" t="n"/>
      <c r="I12" s="2" t="inlineStr">
        <is>
          <t>Recordatorios</t>
        </is>
      </c>
      <c r="J12" s="2" t="inlineStr">
        <is>
          <t>Sí</t>
        </is>
      </c>
      <c r="K12" s="2" t="n">
        <v>0.1</v>
      </c>
      <c r="L12" s="2" t="n"/>
      <c r="M12" s="2" t="inlineStr">
        <is>
          <t>TAC/diagnóstico</t>
        </is>
      </c>
      <c r="N12" s="2" t="inlineStr">
        <is>
          <t>Sí</t>
        </is>
      </c>
      <c r="O12" s="2" t="n">
        <v>0.08</v>
      </c>
    </row>
    <row r="13">
      <c r="A13" s="2" t="inlineStr">
        <is>
          <t>Contacto en el día</t>
        </is>
      </c>
      <c r="B13" s="2" t="inlineStr">
        <is>
          <t>No</t>
        </is>
      </c>
      <c r="C13" s="2" t="n">
        <v>0</v>
      </c>
      <c r="D13" s="2" t="n"/>
      <c r="E13" s="2" t="inlineStr">
        <is>
          <t>Recepción formada</t>
        </is>
      </c>
      <c r="F13" s="2" t="inlineStr">
        <is>
          <t>Parcial</t>
        </is>
      </c>
      <c r="G13" s="2" t="n">
        <v>0.06</v>
      </c>
      <c r="H13" s="2" t="n"/>
      <c r="I13" s="2" t="inlineStr">
        <is>
          <t>Recordatorios</t>
        </is>
      </c>
      <c r="J13" s="2" t="inlineStr">
        <is>
          <t>Parcial</t>
        </is>
      </c>
      <c r="K13" s="2" t="n">
        <v>0.05</v>
      </c>
      <c r="L13" s="2" t="n"/>
      <c r="M13" s="2" t="inlineStr">
        <is>
          <t>TAC/diagnóstico</t>
        </is>
      </c>
      <c r="N13" s="2" t="inlineStr">
        <is>
          <t>Parcial</t>
        </is>
      </c>
      <c r="O13" s="2" t="n">
        <v>0.04</v>
      </c>
    </row>
    <row r="14">
      <c r="A14" s="2" t="inlineStr">
        <is>
          <t>Protocolo llamada Climadent</t>
        </is>
      </c>
      <c r="B14" s="2" t="inlineStr">
        <is>
          <t>Sí</t>
        </is>
      </c>
      <c r="C14" s="2" t="n">
        <v>0.07000000000000001</v>
      </c>
      <c r="D14" s="2" t="n"/>
      <c r="E14" s="2" t="inlineStr">
        <is>
          <t>Recepción formada</t>
        </is>
      </c>
      <c r="F14" s="2" t="inlineStr">
        <is>
          <t>No</t>
        </is>
      </c>
      <c r="G14" s="2" t="n">
        <v>0</v>
      </c>
      <c r="H14" s="2" t="n"/>
      <c r="I14" s="2" t="inlineStr">
        <is>
          <t>Recordatorios</t>
        </is>
      </c>
      <c r="J14" s="2" t="inlineStr">
        <is>
          <t>No</t>
        </is>
      </c>
      <c r="K14" s="2" t="n">
        <v>0</v>
      </c>
      <c r="L14" s="2" t="n"/>
      <c r="M14" s="2" t="inlineStr">
        <is>
          <t>TAC/diagnóstico</t>
        </is>
      </c>
      <c r="N14" s="2" t="inlineStr">
        <is>
          <t>No</t>
        </is>
      </c>
      <c r="O14" s="2" t="n">
        <v>0</v>
      </c>
    </row>
    <row r="15">
      <c r="A15" s="2" t="inlineStr">
        <is>
          <t>Protocolo llamada Climadent</t>
        </is>
      </c>
      <c r="B15" s="2" t="inlineStr">
        <is>
          <t>Parcial</t>
        </is>
      </c>
      <c r="C15" s="2" t="n">
        <v>0.03</v>
      </c>
      <c r="D15" s="2" t="n"/>
      <c r="E15" s="2" t="inlineStr">
        <is>
          <t>Script de cita</t>
        </is>
      </c>
      <c r="F15" s="2" t="inlineStr">
        <is>
          <t>Sí</t>
        </is>
      </c>
      <c r="G15" s="2" t="n">
        <v>0.08</v>
      </c>
      <c r="H15" s="2" t="n"/>
      <c r="I15" s="2" t="inlineStr">
        <is>
          <t>Formación seguimiento</t>
        </is>
      </c>
      <c r="J15" s="2" t="inlineStr">
        <is>
          <t>Sí</t>
        </is>
      </c>
      <c r="K15" s="2" t="n">
        <v>0.08</v>
      </c>
      <c r="L15" s="2" t="n"/>
      <c r="M15" s="2" t="inlineStr">
        <is>
          <t>Financiación</t>
        </is>
      </c>
      <c r="N15" s="2" t="inlineStr">
        <is>
          <t>Buenas</t>
        </is>
      </c>
      <c r="O15" s="2" t="n">
        <v>0.08</v>
      </c>
    </row>
    <row r="16">
      <c r="A16" s="2" t="inlineStr">
        <is>
          <t>Protocolo llamada Climadent</t>
        </is>
      </c>
      <c r="B16" s="2" t="inlineStr">
        <is>
          <t>No</t>
        </is>
      </c>
      <c r="C16" s="2" t="n">
        <v>0</v>
      </c>
      <c r="D16" s="2" t="n"/>
      <c r="E16" s="2" t="inlineStr">
        <is>
          <t>Script de cita</t>
        </is>
      </c>
      <c r="F16" s="2" t="inlineStr">
        <is>
          <t>Parcial</t>
        </is>
      </c>
      <c r="G16" s="2" t="n">
        <v>0.04</v>
      </c>
      <c r="H16" s="2" t="n"/>
      <c r="I16" s="2" t="inlineStr">
        <is>
          <t>Formación seguimiento</t>
        </is>
      </c>
      <c r="J16" s="2" t="inlineStr">
        <is>
          <t>Parcial</t>
        </is>
      </c>
      <c r="K16" s="2" t="n">
        <v>0.04</v>
      </c>
      <c r="L16" s="2" t="n"/>
      <c r="M16" s="2" t="inlineStr">
        <is>
          <t>Financiación</t>
        </is>
      </c>
      <c r="N16" s="2" t="inlineStr">
        <is>
          <t>Limitadas</t>
        </is>
      </c>
      <c r="O16" s="2" t="n">
        <v>0.03</v>
      </c>
    </row>
    <row r="17">
      <c r="A17" s="2" t="inlineStr">
        <is>
          <t>Marca/Instagram/Web</t>
        </is>
      </c>
      <c r="B17" s="2" t="inlineStr">
        <is>
          <t>Fuerte</t>
        </is>
      </c>
      <c r="C17" s="2" t="n">
        <v>0.06</v>
      </c>
      <c r="D17" s="2" t="n"/>
      <c r="E17" s="2" t="inlineStr">
        <is>
          <t>Script de cita</t>
        </is>
      </c>
      <c r="F17" s="2" t="inlineStr">
        <is>
          <t>No</t>
        </is>
      </c>
      <c r="G17" s="2" t="n">
        <v>0</v>
      </c>
      <c r="H17" s="2" t="n"/>
      <c r="I17" s="2" t="inlineStr">
        <is>
          <t>Formación seguimiento</t>
        </is>
      </c>
      <c r="J17" s="2" t="inlineStr">
        <is>
          <t>No</t>
        </is>
      </c>
      <c r="K17" s="2" t="n">
        <v>0</v>
      </c>
      <c r="L17" s="2" t="n"/>
      <c r="M17" s="2" t="inlineStr">
        <is>
          <t>Financiación</t>
        </is>
      </c>
      <c r="N17" s="2" t="inlineStr">
        <is>
          <t>No</t>
        </is>
      </c>
      <c r="O17" s="2" t="n">
        <v>0</v>
      </c>
    </row>
    <row r="18">
      <c r="A18" s="2" t="inlineStr">
        <is>
          <t>Marca/Instagram/Web</t>
        </is>
      </c>
      <c r="B18" s="2" t="inlineStr">
        <is>
          <t>Correcta</t>
        </is>
      </c>
      <c r="C18" s="2" t="n">
        <v>0.03</v>
      </c>
      <c r="D18" s="2" t="n"/>
      <c r="E18" s="2" t="n"/>
      <c r="F18" s="2" t="n"/>
      <c r="G18" s="2" t="n"/>
      <c r="H18" s="2" t="n"/>
      <c r="I18" s="2" t="inlineStr">
        <is>
          <t>Autoridad digital</t>
        </is>
      </c>
      <c r="J18" s="2" t="inlineStr">
        <is>
          <t>Fuerte</t>
        </is>
      </c>
      <c r="K18" s="2" t="n">
        <v>0.07000000000000001</v>
      </c>
      <c r="L18" s="2" t="n"/>
      <c r="M18" s="2" t="inlineStr">
        <is>
          <t>Asesor comercial</t>
        </is>
      </c>
      <c r="N18" s="2" t="inlineStr">
        <is>
          <t>Sí</t>
        </is>
      </c>
      <c r="O18" s="2" t="n">
        <v>0.08</v>
      </c>
    </row>
    <row r="19">
      <c r="A19" s="2" t="inlineStr">
        <is>
          <t>Marca/Instagram/Web</t>
        </is>
      </c>
      <c r="B19" s="2" t="inlineStr">
        <is>
          <t>Débil</t>
        </is>
      </c>
      <c r="C19" s="2" t="n">
        <v>0</v>
      </c>
      <c r="D19" s="2" t="n"/>
      <c r="E19" s="2" t="n"/>
      <c r="F19" s="2" t="n"/>
      <c r="G19" s="2" t="n"/>
      <c r="H19" s="2" t="n"/>
      <c r="I19" s="2" t="inlineStr">
        <is>
          <t>Autoridad digital</t>
        </is>
      </c>
      <c r="J19" s="2" t="inlineStr">
        <is>
          <t>Correcta</t>
        </is>
      </c>
      <c r="K19" s="2" t="n">
        <v>0.03</v>
      </c>
      <c r="L19" s="2" t="n"/>
      <c r="M19" s="2" t="inlineStr">
        <is>
          <t>Asesor comercial</t>
        </is>
      </c>
      <c r="N19" s="2" t="inlineStr">
        <is>
          <t>No</t>
        </is>
      </c>
      <c r="O19" s="2" t="n">
        <v>0</v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inlineStr">
        <is>
          <t>Autoridad digital</t>
        </is>
      </c>
      <c r="J20" s="2" t="inlineStr">
        <is>
          <t>Débil</t>
        </is>
      </c>
      <c r="K20" s="2" t="n">
        <v>0</v>
      </c>
      <c r="L20" s="2" t="n"/>
      <c r="M20" s="2" t="inlineStr">
        <is>
          <t>Protocolo primera visita</t>
        </is>
      </c>
      <c r="N20" s="2" t="inlineStr">
        <is>
          <t>Sí</t>
        </is>
      </c>
      <c r="O20" s="2" t="n">
        <v>0.1</v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inlineStr">
        <is>
          <t>Protocolo primera visita</t>
        </is>
      </c>
      <c r="N21" s="2" t="inlineStr">
        <is>
          <t>Parcial</t>
        </is>
      </c>
      <c r="O21" s="2" t="n">
        <v>0.05</v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inlineStr">
        <is>
          <t>Protocolo primera visita</t>
        </is>
      </c>
      <c r="N22" s="2" t="inlineStr">
        <is>
          <t>No</t>
        </is>
      </c>
      <c r="O22" s="2" t="n">
        <v>0</v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inlineStr">
        <is>
          <t>TierList</t>
        </is>
      </c>
      <c r="B30" s="2" t="inlineStr">
        <is>
          <t>OfertaList</t>
        </is>
      </c>
      <c r="C30" s="2" t="inlineStr">
        <is>
          <t>CompetenciaList</t>
        </is>
      </c>
      <c r="D30" s="2" t="inlineStr">
        <is>
          <t>SiNoList</t>
        </is>
      </c>
      <c r="E30" s="2" t="inlineStr">
        <is>
          <t>SiParcialNoList</t>
        </is>
      </c>
      <c r="F30" s="2" t="inlineStr">
        <is>
          <t>MarcaList</t>
        </is>
      </c>
      <c r="G30" s="2" t="inlineStr">
        <is>
          <t>FinanciacionList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inlineStr">
        <is>
          <t>Tier 1 - Madrid/Barcelona/Valencia</t>
        </is>
      </c>
      <c r="B31" s="2" t="inlineStr">
        <is>
          <t>Básica</t>
        </is>
      </c>
      <c r="C31" s="2" t="inlineStr">
        <is>
          <t>Alta</t>
        </is>
      </c>
      <c r="D31" s="2" t="inlineStr">
        <is>
          <t>Sí</t>
        </is>
      </c>
      <c r="E31" s="2" t="inlineStr">
        <is>
          <t>Sí</t>
        </is>
      </c>
      <c r="F31" s="2" t="inlineStr">
        <is>
          <t>Débil</t>
        </is>
      </c>
      <c r="G31" s="2" t="inlineStr">
        <is>
          <t>Buenas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inlineStr">
        <is>
          <t>Tier 2 - capital secundaria</t>
        </is>
      </c>
      <c r="B32" s="2" t="inlineStr">
        <is>
          <t>Media</t>
        </is>
      </c>
      <c r="C32" s="2" t="inlineStr">
        <is>
          <t>Media</t>
        </is>
      </c>
      <c r="D32" s="2" t="inlineStr">
        <is>
          <t>No</t>
        </is>
      </c>
      <c r="E32" s="2" t="inlineStr">
        <is>
          <t>Parcial</t>
        </is>
      </c>
      <c r="F32" s="2" t="inlineStr">
        <is>
          <t>Correcta</t>
        </is>
      </c>
      <c r="G32" s="2" t="inlineStr">
        <is>
          <t>Limitadas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inlineStr">
        <is>
          <t>Tier 3 - ciudad pequeña/rural</t>
        </is>
      </c>
      <c r="B33" s="2" t="inlineStr">
        <is>
          <t>Fuerte</t>
        </is>
      </c>
      <c r="C33" s="2" t="inlineStr">
        <is>
          <t>Baja</t>
        </is>
      </c>
      <c r="D33" s="2" t="n"/>
      <c r="E33" s="2" t="inlineStr">
        <is>
          <t>No</t>
        </is>
      </c>
      <c r="F33" s="2" t="inlineStr">
        <is>
          <t>Fuerte</t>
        </is>
      </c>
      <c r="G33" s="2" t="inlineStr">
        <is>
          <t>No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Benchmark de escenarios automáticos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1" t="inlineStr">
        <is>
          <t>Comparativa orientativa con inversión mensual de 450€ y ticket medio de 5.000€.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19" t="inlineStr">
        <is>
          <t>Escenario</t>
        </is>
      </c>
      <c r="B4" s="19" t="inlineStr">
        <is>
          <t>Tier</t>
        </is>
      </c>
      <c r="C4" s="19" t="inlineStr">
        <is>
          <t>Tipo clínica</t>
        </is>
      </c>
      <c r="D4" s="19" t="inlineStr">
        <is>
          <t>CPL</t>
        </is>
      </c>
      <c r="E4" s="19" t="inlineStr">
        <is>
          <t>Leads</t>
        </is>
      </c>
      <c r="F4" s="19" t="inlineStr">
        <is>
          <t>% contacto</t>
        </is>
      </c>
      <c r="G4" s="19" t="inlineStr">
        <is>
          <t>% cita</t>
        </is>
      </c>
      <c r="H4" s="19" t="inlineStr">
        <is>
          <t>% asistencia</t>
        </is>
      </c>
      <c r="I4" s="19" t="inlineStr">
        <is>
          <t>% cierre/visita</t>
        </is>
      </c>
      <c r="J4" s="19" t="inlineStr">
        <is>
          <t>% cierre/lead</t>
        </is>
      </c>
      <c r="K4" s="19" t="inlineStr">
        <is>
          <t>Pacientes</t>
        </is>
      </c>
      <c r="L4" s="19" t="inlineStr">
        <is>
          <t>Implantes</t>
        </is>
      </c>
      <c r="M4" s="19" t="inlineStr">
        <is>
          <t>Ingresos</t>
        </is>
      </c>
    </row>
    <row r="5">
      <c r="A5" s="1" t="inlineStr">
        <is>
          <t>Tier 1 clínica débil</t>
        </is>
      </c>
      <c r="B5" s="1" t="inlineStr">
        <is>
          <t>Tier 1</t>
        </is>
      </c>
      <c r="C5" s="1" t="inlineStr">
        <is>
          <t>Con margen de mejora</t>
        </is>
      </c>
      <c r="D5" s="20" t="n">
        <v>11.5</v>
      </c>
      <c r="E5" s="21" t="n">
        <v>39.1304347826087</v>
      </c>
      <c r="F5" s="22" t="n">
        <v>0.65</v>
      </c>
      <c r="G5" s="22" t="n">
        <v>0.55</v>
      </c>
      <c r="H5" s="22" t="n">
        <v>0.5</v>
      </c>
      <c r="I5" s="22" t="n">
        <v>0.22</v>
      </c>
      <c r="J5" s="22" t="n">
        <v>0.03932500000000001</v>
      </c>
      <c r="K5" s="21" t="n">
        <v>1.538804347826087</v>
      </c>
      <c r="L5" s="21" t="n">
        <v>4.616413043478262</v>
      </c>
      <c r="M5" s="10" t="n">
        <v>7694.021739130436</v>
      </c>
    </row>
    <row r="6">
      <c r="A6" s="1" t="inlineStr">
        <is>
          <t>Tier 1 clínica fuerte</t>
        </is>
      </c>
      <c r="B6" s="1" t="inlineStr">
        <is>
          <t>Tier 1</t>
        </is>
      </c>
      <c r="C6" s="1" t="inlineStr">
        <is>
          <t>Estructurada</t>
        </is>
      </c>
      <c r="D6" s="20" t="n">
        <v>9.5</v>
      </c>
      <c r="E6" s="21" t="n">
        <v>47.36842105263158</v>
      </c>
      <c r="F6" s="22" t="n">
        <v>0.82</v>
      </c>
      <c r="G6" s="22" t="n">
        <v>0.72</v>
      </c>
      <c r="H6" s="22" t="n">
        <v>0.68</v>
      </c>
      <c r="I6" s="22" t="n">
        <v>0.38</v>
      </c>
      <c r="J6" s="22" t="n">
        <v>0.15255936</v>
      </c>
      <c r="K6" s="21" t="n">
        <v>7.226496000000001</v>
      </c>
      <c r="L6" s="21" t="n">
        <v>21.679488</v>
      </c>
      <c r="M6" s="10" t="n">
        <v>36132.48</v>
      </c>
    </row>
    <row r="7">
      <c r="A7" s="1" t="inlineStr">
        <is>
          <t>Tier 2 clínica media</t>
        </is>
      </c>
      <c r="B7" s="1" t="inlineStr">
        <is>
          <t>Tier 2</t>
        </is>
      </c>
      <c r="C7" s="1" t="inlineStr">
        <is>
          <t>Media</t>
        </is>
      </c>
      <c r="D7" s="20" t="n">
        <v>6</v>
      </c>
      <c r="E7" s="21" t="n">
        <v>75</v>
      </c>
      <c r="F7" s="22" t="n">
        <v>0.78</v>
      </c>
      <c r="G7" s="22" t="n">
        <v>0.68</v>
      </c>
      <c r="H7" s="22" t="n">
        <v>0.63</v>
      </c>
      <c r="I7" s="22" t="n">
        <v>0.3</v>
      </c>
      <c r="J7" s="22" t="n">
        <v>0.1002456</v>
      </c>
      <c r="K7" s="21" t="n">
        <v>7.518420000000002</v>
      </c>
      <c r="L7" s="21" t="n">
        <v>22.55526</v>
      </c>
      <c r="M7" s="10" t="n">
        <v>37592.10000000001</v>
      </c>
    </row>
    <row r="8">
      <c r="A8" s="1" t="inlineStr">
        <is>
          <t>Tier 3 clínica fuerte</t>
        </is>
      </c>
      <c r="B8" s="1" t="inlineStr">
        <is>
          <t>Tier 3</t>
        </is>
      </c>
      <c r="C8" s="1" t="inlineStr">
        <is>
          <t>Estructurada</t>
        </is>
      </c>
      <c r="D8" s="20" t="n">
        <v>4.5</v>
      </c>
      <c r="E8" s="21" t="n">
        <v>100</v>
      </c>
      <c r="F8" s="22" t="n">
        <v>0.85</v>
      </c>
      <c r="G8" s="22" t="n">
        <v>0.75</v>
      </c>
      <c r="H8" s="22" t="n">
        <v>0.7</v>
      </c>
      <c r="I8" s="22" t="n">
        <v>0.4</v>
      </c>
      <c r="J8" s="22" t="n">
        <v>0.1785</v>
      </c>
      <c r="K8" s="21" t="n">
        <v>17.85</v>
      </c>
      <c r="L8" s="21" t="n">
        <v>53.55</v>
      </c>
      <c r="M8" s="10" t="n">
        <v>89249.99999999999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30" customHeight="1">
      <c r="A1" s="18" t="inlineStr">
        <is>
          <t>Diccionario de lectura del modelo</t>
        </is>
      </c>
      <c r="B1" s="23" t="n"/>
    </row>
    <row r="2" ht="30" customHeight="1">
      <c r="A2" s="23" t="n"/>
      <c r="B2" s="23" t="n"/>
    </row>
    <row r="3" ht="30" customHeight="1">
      <c r="A3" s="24" t="inlineStr">
        <is>
          <t>Concepto</t>
        </is>
      </c>
      <c r="B3" s="24" t="inlineStr">
        <is>
          <t>Explicación</t>
        </is>
      </c>
    </row>
    <row r="4" ht="30" customHeight="1">
      <c r="A4" s="18" t="inlineStr">
        <is>
          <t>CPL</t>
        </is>
      </c>
      <c r="B4" s="18" t="inlineStr">
        <is>
          <t>Coste por persona interesada que deja sus datos. Depende de tier, oferta y competencia.</t>
        </is>
      </c>
    </row>
    <row r="5" ht="30" customHeight="1">
      <c r="A5" s="18" t="inlineStr">
        <is>
          <t>% contacto</t>
        </is>
      </c>
      <c r="B5" s="18" t="inlineStr">
        <is>
          <t>Porcentaje de leads con los que la clínica consigue hablar. Depende de contacto en el día, protocolo y autoridad previa.</t>
        </is>
      </c>
    </row>
    <row r="6" ht="30" customHeight="1">
      <c r="A6" s="18" t="inlineStr">
        <is>
          <t>% cita/contacto</t>
        </is>
      </c>
      <c r="B6" s="18" t="inlineStr">
        <is>
          <t>Porcentaje de contactados que aceptan una primera visita. Depende de recepción y script.</t>
        </is>
      </c>
    </row>
    <row r="7" ht="30" customHeight="1">
      <c r="A7" s="18" t="inlineStr">
        <is>
          <t>% asistencia</t>
        </is>
      </c>
      <c r="B7" s="18" t="inlineStr">
        <is>
          <t>Porcentaje de citas que acuden. Depende de recordatorios, seguimiento y confianza.</t>
        </is>
      </c>
    </row>
    <row r="8" ht="30" customHeight="1">
      <c r="A8" s="18" t="inlineStr">
        <is>
          <t>% cierre/visita</t>
        </is>
      </c>
      <c r="B8" s="18" t="inlineStr">
        <is>
          <t>Porcentaje de primeras visitas que empiezan tratamiento. Depende de diagnóstico, financiación, asesor y protocolo de primera visita.</t>
        </is>
      </c>
    </row>
    <row r="9" ht="30" customHeight="1">
      <c r="A9" s="18" t="inlineStr">
        <is>
          <t>% cierre/lead</t>
        </is>
      </c>
      <c r="B9" s="18" t="inlineStr">
        <is>
          <t>Conversión total del embudo: contacto × cita × asistencia × cierre.</t>
        </is>
      </c>
    </row>
    <row r="10" ht="30" customHeight="1">
      <c r="A10" s="18" t="inlineStr">
        <is>
          <t>Implantes estimados</t>
        </is>
      </c>
      <c r="B10" s="18" t="inlineStr">
        <is>
          <t>Pacientes cerrados × implantes medios por paciente. Es el KPI directo para Sweden &amp; Martina.</t>
        </is>
      </c>
    </row>
    <row r="11" ht="30" customHeight="1"/>
    <row r="12" ht="30" customHeight="1"/>
    <row r="13" ht="30" customHeight="1"/>
    <row r="14" ht="30" customHeight="1"/>
    <row r="15" ht="30" customHeight="1"/>
    <row r="16" ht="30" customHeight="1"/>
    <row r="17" ht="30" customHeight="1"/>
    <row r="18" ht="30" customHeight="1"/>
    <row r="19" ht="3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2026-04-24T09:45:03Z</dcterms:created>
  <dcterms:modified xmlns:dcterms="http://purl.org/dc/terms/" xmlns:xsi="http://www.w3.org/2001/XMLSchema-instance" xsi:type="dcterms:W3CDTF">2026-04-24T09:45:03Z</dcterms:modified>
</cp:coreProperties>
</file>